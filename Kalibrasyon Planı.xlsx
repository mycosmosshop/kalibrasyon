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User\Desktop\Calibration_Track\"/>
    </mc:Choice>
  </mc:AlternateContent>
  <xr:revisionPtr revIDLastSave="0" documentId="13_ncr:1_{B450F30A-6F64-4C07-B770-48C8B3138705}" xr6:coauthVersionLast="36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kişehir 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14" i="1"/>
  <c r="P11" i="1"/>
  <c r="P9" i="1"/>
  <c r="P13" i="1"/>
  <c r="P15" i="1"/>
  <c r="P12" i="1"/>
  <c r="P7" i="1"/>
  <c r="P8" i="1"/>
  <c r="P10" i="1"/>
</calcChain>
</file>

<file path=xl/sharedStrings.xml><?xml version="1.0" encoding="utf-8"?>
<sst xmlns="http://schemas.openxmlformats.org/spreadsheetml/2006/main" count="167" uniqueCount="109">
  <si>
    <t>KALİTE YÖNETİM SİSTEMİ DOKÜMANTASYONU</t>
  </si>
  <si>
    <t>DOKÜMAN NO</t>
  </si>
  <si>
    <t xml:space="preserve"> PL12</t>
  </si>
  <si>
    <t>YAYIN TARİHİ</t>
  </si>
  <si>
    <t>16.12.2006</t>
  </si>
  <si>
    <t>REV. NO/TARİH</t>
  </si>
  <si>
    <t>10/12.12.2019</t>
  </si>
  <si>
    <t>SAYFA</t>
  </si>
  <si>
    <t xml:space="preserve"> 1 / 1</t>
  </si>
  <si>
    <t>MAKİNA-BÖLÜM</t>
  </si>
  <si>
    <t xml:space="preserve">İŞLEV </t>
  </si>
  <si>
    <t>KALİBRASYON FİRMASI</t>
  </si>
  <si>
    <t>ÖLÇME ALETİ MARKASI</t>
  </si>
  <si>
    <t>TİPİ</t>
  </si>
  <si>
    <t>SERİ NUMARASI</t>
  </si>
  <si>
    <t>KALİBRASYON KODU</t>
  </si>
  <si>
    <t>ÖLÇME 
ARALIĞI</t>
  </si>
  <si>
    <t>KABUL EDİLEN MAX. SAPMA DEĞERİ
(+/-)</t>
  </si>
  <si>
    <t>ADET</t>
  </si>
  <si>
    <t>KALİBRASYON PERİYODU</t>
  </si>
  <si>
    <t>ÖNCEKİ KALİBRASYON TARİHİ</t>
  </si>
  <si>
    <t>SONRAKİ KALİBRASYON TARİHİ</t>
  </si>
  <si>
    <t>ELDE EDİLEN SAPMA DEĞERİ 
(+/-)</t>
  </si>
  <si>
    <t>ÖLÇÜM BELİRSİZLİĞİ (U)</t>
  </si>
  <si>
    <t>TOPLAM SAPMA</t>
  </si>
  <si>
    <t>SONUÇ</t>
  </si>
  <si>
    <t>1 YIL</t>
  </si>
  <si>
    <t>OK</t>
  </si>
  <si>
    <t>RADWAG</t>
  </si>
  <si>
    <t>1</t>
  </si>
  <si>
    <t>MESAFE ÖLÇÜMÜ</t>
  </si>
  <si>
    <t>MİTUTOYO</t>
  </si>
  <si>
    <t>N/A</t>
  </si>
  <si>
    <t>2 YIL</t>
  </si>
  <si>
    <t>-</t>
  </si>
  <si>
    <t>SICAKLIK VE NEM ÖLÇÜMÜ</t>
  </si>
  <si>
    <t>± 2°C</t>
  </si>
  <si>
    <t>KÖFER</t>
  </si>
  <si>
    <t xml:space="preserve">DİGİTAL KUMPAS  - KALİTE </t>
  </si>
  <si>
    <t xml:space="preserve">HASSAS TERAZİ  - KALİTE </t>
  </si>
  <si>
    <t xml:space="preserve">HASSAS TERAZİ - FRN 3 </t>
  </si>
  <si>
    <t xml:space="preserve">DIŞ ÇAP MİKROMETRESİ - KALİTE </t>
  </si>
  <si>
    <t xml:space="preserve">TERAZİ - FRN 3 </t>
  </si>
  <si>
    <t xml:space="preserve">KALINLIK KOMPARATÖRÜ - KALİTE  </t>
  </si>
  <si>
    <t xml:space="preserve">HASSAS TERAZİ - BANT BÖLÜMÜ </t>
  </si>
  <si>
    <t>MANUEL KUMPAS - BAKIM BÖLÜMÜ</t>
  </si>
  <si>
    <t xml:space="preserve">SICAKLIK/NEM ÖLÇER - KALİTE </t>
  </si>
  <si>
    <t xml:space="preserve">ÇELİK CETVEL - KALİTE </t>
  </si>
  <si>
    <t>KONTROL TARTIMLARI</t>
  </si>
  <si>
    <t xml:space="preserve">ÜRÜN TARTIMLARI </t>
  </si>
  <si>
    <t xml:space="preserve">KALINLIK ÖLÇÜMÜ </t>
  </si>
  <si>
    <t xml:space="preserve">GRAMAJ ÖLÇÜMÜ </t>
  </si>
  <si>
    <t xml:space="preserve">METROLOJİSTİK </t>
  </si>
  <si>
    <t>DESİS</t>
  </si>
  <si>
    <t>ACCUD</t>
  </si>
  <si>
    <t>ETASİS</t>
  </si>
  <si>
    <t>TESTO</t>
  </si>
  <si>
    <t>DW</t>
  </si>
  <si>
    <t>500-181-20</t>
  </si>
  <si>
    <t>T28</t>
  </si>
  <si>
    <t>CAPP1</t>
  </si>
  <si>
    <t>PS750.R2</t>
  </si>
  <si>
    <t>605İ</t>
  </si>
  <si>
    <t>588135</t>
  </si>
  <si>
    <t>3005063</t>
  </si>
  <si>
    <t>HF118410</t>
  </si>
  <si>
    <t>14T286S004</t>
  </si>
  <si>
    <t>13272522</t>
  </si>
  <si>
    <t>30</t>
  </si>
  <si>
    <t>14T286S005</t>
  </si>
  <si>
    <t>SAN.BY0046</t>
  </si>
  <si>
    <t>SAN.TR0036</t>
  </si>
  <si>
    <t>SAN.BY0030</t>
  </si>
  <si>
    <t>SAN.BY0035</t>
  </si>
  <si>
    <t>SAN.TR0038</t>
  </si>
  <si>
    <t>SAN.TR0032</t>
  </si>
  <si>
    <t>SAN.BY0045</t>
  </si>
  <si>
    <t>SAN.BY0001</t>
  </si>
  <si>
    <t>SAN.BY0031</t>
  </si>
  <si>
    <t>+/- 1</t>
  </si>
  <si>
    <t>± 50 g</t>
  </si>
  <si>
    <t>± 1 kg</t>
  </si>
  <si>
    <t>6000 g ± 0,0005 kg</t>
  </si>
  <si>
    <t>300 kg ± 0,1 kg</t>
  </si>
  <si>
    <t>750 g ± 0,001 gr</t>
  </si>
  <si>
    <t>+/-0,1 g</t>
  </si>
  <si>
    <t>2000 mm ± 0,5 mm</t>
  </si>
  <si>
    <t>150 mm ± 0,05mm</t>
  </si>
  <si>
    <r>
      <t xml:space="preserve">± 50 </t>
    </r>
    <r>
      <rPr>
        <b/>
        <sz val="8"/>
        <rFont val="Arial Tur"/>
        <charset val="162"/>
      </rPr>
      <t>µm</t>
    </r>
  </si>
  <si>
    <t>0,25 - 0,001 mm
±  0,001 mm</t>
  </si>
  <si>
    <t>± 10 µm</t>
  </si>
  <si>
    <t>30 mm±  0,1 mm</t>
  </si>
  <si>
    <t>± 0,1mm</t>
  </si>
  <si>
    <t>150 mm ± 0,0150 mm</t>
  </si>
  <si>
    <t>0,20 mm</t>
  </si>
  <si>
    <t xml:space="preserve">ISI VE NEM ÖLÇER </t>
  </si>
  <si>
    <t xml:space="preserve">XİAOMİ </t>
  </si>
  <si>
    <t xml:space="preserve">KAPASİTE/
DOLULUK </t>
  </si>
  <si>
    <t xml:space="preserve">ÇEKME TEST CİHAZI </t>
  </si>
  <si>
    <t xml:space="preserve">DEVOTRANS </t>
  </si>
  <si>
    <t>MHO-C601</t>
  </si>
  <si>
    <t>251057007</t>
  </si>
  <si>
    <t>0°C - 60°C
%0 - 99</t>
  </si>
  <si>
    <t>+/- 1 °C
  +/- %5</t>
  </si>
  <si>
    <t xml:space="preserve">SOYULMA DAYANIMI </t>
  </si>
  <si>
    <t>DVT GP23 D NN/SP</t>
  </si>
  <si>
    <t>GP23SP-241797-CKC111</t>
  </si>
  <si>
    <t>5000 N 0,01 N</t>
  </si>
  <si>
    <t>&lt;5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</si>
</sst>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F]mmmm\ yy;@"/>
    <numFmt numFmtId="165" formatCode="0.0000"/>
    <numFmt numFmtId="166" formatCode="0.000"/>
  </numFmts>
  <fonts count="14" x14ac:knownFonts="1">
    <font>
      <sz val="11"/>
      <color theme="1"/>
      <name val="Calibri"/>
      <family val="2"/>
      <charset val="162"/>
      <scheme val="minor"/>
    </font>
    <font>
      <sz val="8"/>
      <name val="Tahoma"/>
      <family val="2"/>
      <charset val="162"/>
    </font>
    <font>
      <b/>
      <sz val="8"/>
      <name val="Tahoma"/>
      <family val="2"/>
      <charset val="162"/>
    </font>
    <font>
      <b/>
      <sz val="8"/>
      <color theme="1"/>
      <name val="Tahoma"/>
      <family val="2"/>
      <charset val="162"/>
    </font>
    <font>
      <b/>
      <sz val="9"/>
      <color theme="1"/>
      <name val="Tahoma"/>
      <family val="2"/>
      <charset val="162"/>
    </font>
    <font>
      <b/>
      <sz val="9"/>
      <name val="Tahoma"/>
      <family val="2"/>
      <charset val="162"/>
    </font>
    <font>
      <sz val="10"/>
      <name val="Arial Tur"/>
      <charset val="162"/>
    </font>
    <font>
      <sz val="10"/>
      <name val="Arial Tur"/>
      <family val="2"/>
      <charset val="162"/>
    </font>
    <font>
      <b/>
      <sz val="8"/>
      <name val="Arial Tur"/>
      <charset val="162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0" fontId="7" fillId="0" borderId="0"/>
    <xf numFmtId="9" fontId="10" fillId="0" borderId="0" applyFont="0" applyFill="0" applyBorder="0" applyAlignment="0" applyProtection="0"/>
    <xf numFmtId="0" fontId="12" fillId="4" borderId="0" applyNumberFormat="0" applyBorder="0" applyAlignment="0" applyProtection="0"/>
    <xf numFmtId="0" fontId="13" fillId="0" borderId="0"/>
  </cellStyleXfs>
  <cellXfs count="39">
    <xf numFmtId="0" fontId="0" fillId="0" borderId="0" xfId="0"/>
    <xf numFmtId="49" fontId="1" fillId="0" borderId="3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0" fontId="2" fillId="0" borderId="13" xfId="0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left" vertical="center" wrapText="1"/>
    </xf>
    <xf numFmtId="2" fontId="3" fillId="2" borderId="13" xfId="0" quotePrefix="1" applyNumberFormat="1" applyFont="1" applyFill="1" applyBorder="1" applyAlignment="1">
      <alignment horizontal="center" vertical="center"/>
    </xf>
    <xf numFmtId="165" fontId="3" fillId="2" borderId="13" xfId="0" applyNumberFormat="1" applyFont="1" applyFill="1" applyBorder="1" applyAlignment="1">
      <alignment horizontal="center" vertical="center"/>
    </xf>
    <xf numFmtId="166" fontId="2" fillId="2" borderId="13" xfId="0" applyNumberFormat="1" applyFont="1" applyFill="1" applyBorder="1" applyAlignment="1">
      <alignment horizontal="center" vertical="center"/>
    </xf>
    <xf numFmtId="165" fontId="2" fillId="2" borderId="13" xfId="0" applyNumberFormat="1" applyFont="1" applyFill="1" applyBorder="1" applyAlignment="1">
      <alignment horizontal="center" vertical="center"/>
    </xf>
    <xf numFmtId="166" fontId="3" fillId="2" borderId="13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49" fontId="5" fillId="2" borderId="13" xfId="0" applyNumberFormat="1" applyFont="1" applyFill="1" applyBorder="1" applyAlignment="1">
      <alignment horizontal="center" vertical="center"/>
    </xf>
    <xf numFmtId="49" fontId="2" fillId="2" borderId="13" xfId="1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 wrapText="1"/>
    </xf>
    <xf numFmtId="0" fontId="11" fillId="2" borderId="13" xfId="4" applyFont="1" applyFill="1" applyBorder="1" applyAlignment="1">
      <alignment horizontal="center" vertical="center" wrapText="1"/>
    </xf>
    <xf numFmtId="9" fontId="4" fillId="2" borderId="13" xfId="3" applyNumberFormat="1" applyFont="1" applyFill="1" applyBorder="1" applyAlignment="1">
      <alignment horizontal="center" vertical="center"/>
    </xf>
    <xf numFmtId="9" fontId="4" fillId="2" borderId="13" xfId="0" applyNumberFormat="1" applyFont="1" applyFill="1" applyBorder="1" applyAlignment="1">
      <alignment horizontal="center" vertical="center"/>
    </xf>
    <xf numFmtId="9" fontId="3" fillId="2" borderId="13" xfId="0" applyNumberFormat="1" applyFont="1" applyFill="1" applyBorder="1" applyAlignment="1">
      <alignment horizontal="center" vertical="center"/>
    </xf>
    <xf numFmtId="49" fontId="5" fillId="2" borderId="13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</cellXfs>
  <cellStyles count="6">
    <cellStyle name="Normal" xfId="0" builtinId="0"/>
    <cellStyle name="Normal 2" xfId="2" xr:uid="{00000000-0005-0000-0000-000001000000}"/>
    <cellStyle name="Normal 3" xfId="1" xr:uid="{00000000-0005-0000-0000-000002000000}"/>
    <cellStyle name="Normal 4" xfId="5" xr:uid="{00000000-0005-0000-0000-000031000000}"/>
    <cellStyle name="Vurgu1" xfId="4" builtinId="29"/>
    <cellStyle name="Yüzd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843643</xdr:colOff>
      <xdr:row>1</xdr:row>
      <xdr:rowOff>47625</xdr:rowOff>
    </xdr:from>
    <xdr:to>
      <xdr:col>13</xdr:col>
      <xdr:colOff>29</xdr:colOff>
      <xdr:row>3</xdr:row>
      <xdr:rowOff>85725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830286" y="238125"/>
          <a:ext cx="8069064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tr-TR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MUAYENE/ÖLÇME/DENEY TEÇHİZATLARI KONTROL PLANI(2026)</a:t>
          </a:r>
        </a:p>
      </xdr:txBody>
    </xdr:sp>
    <xdr:clientData/>
  </xdr:twoCellAnchor>
  <xdr:twoCellAnchor>
    <xdr:from>
      <xdr:col>12</xdr:col>
      <xdr:colOff>0</xdr:colOff>
      <xdr:row>0</xdr:row>
      <xdr:rowOff>95250</xdr:rowOff>
    </xdr:from>
    <xdr:to>
      <xdr:col>12</xdr:col>
      <xdr:colOff>0</xdr:colOff>
      <xdr:row>3</xdr:row>
      <xdr:rowOff>55592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5573375" y="95250"/>
          <a:ext cx="0" cy="44611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0" rIns="36576" bIns="27432" anchor="b" upright="1"/>
        <a:lstStyle/>
        <a:p>
          <a:pPr algn="ctr" rtl="0">
            <a:defRPr sz="1000"/>
          </a:pPr>
          <a:r>
            <a:rPr lang="tr-TR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Sanimed</a:t>
          </a:r>
          <a:endParaRPr lang="tr-TR" sz="8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tr-TR" sz="7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SÜNGER SAN.TİC.A.Ş.</a:t>
          </a:r>
        </a:p>
      </xdr:txBody>
    </xdr:sp>
    <xdr:clientData/>
  </xdr:twoCellAnchor>
  <xdr:twoCellAnchor>
    <xdr:from>
      <xdr:col>12</xdr:col>
      <xdr:colOff>0</xdr:colOff>
      <xdr:row>1</xdr:row>
      <xdr:rowOff>47625</xdr:rowOff>
    </xdr:from>
    <xdr:to>
      <xdr:col>12</xdr:col>
      <xdr:colOff>0</xdr:colOff>
      <xdr:row>3</xdr:row>
      <xdr:rowOff>85725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5573375" y="209550"/>
          <a:ext cx="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SİCİL / KALİBRASYON</a:t>
          </a:r>
        </a:p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TAKİP KARTI</a:t>
          </a:r>
        </a:p>
      </xdr:txBody>
    </xdr:sp>
    <xdr:clientData/>
  </xdr:twoCellAnchor>
  <xdr:twoCellAnchor>
    <xdr:from>
      <xdr:col>12</xdr:col>
      <xdr:colOff>0</xdr:colOff>
      <xdr:row>0</xdr:row>
      <xdr:rowOff>95250</xdr:rowOff>
    </xdr:from>
    <xdr:to>
      <xdr:col>12</xdr:col>
      <xdr:colOff>0</xdr:colOff>
      <xdr:row>3</xdr:row>
      <xdr:rowOff>55592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5573375" y="95250"/>
          <a:ext cx="0" cy="44611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0" rIns="36576" bIns="27432" anchor="b" upright="1"/>
        <a:lstStyle/>
        <a:p>
          <a:pPr algn="ctr" rtl="0">
            <a:defRPr sz="1000"/>
          </a:pPr>
          <a:r>
            <a:rPr lang="tr-TR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Sanimed</a:t>
          </a:r>
          <a:endParaRPr lang="tr-TR" sz="8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tr-TR" sz="7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SÜNGER SAN.TİC.A.Ş.</a:t>
          </a:r>
        </a:p>
      </xdr:txBody>
    </xdr:sp>
    <xdr:clientData/>
  </xdr:twoCellAnchor>
  <xdr:twoCellAnchor>
    <xdr:from>
      <xdr:col>12</xdr:col>
      <xdr:colOff>0</xdr:colOff>
      <xdr:row>1</xdr:row>
      <xdr:rowOff>47625</xdr:rowOff>
    </xdr:from>
    <xdr:to>
      <xdr:col>12</xdr:col>
      <xdr:colOff>0</xdr:colOff>
      <xdr:row>3</xdr:row>
      <xdr:rowOff>85725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5573375" y="209550"/>
          <a:ext cx="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SİCİL / KALİBRASYON</a:t>
          </a:r>
        </a:p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TAKİP KARTI</a:t>
          </a:r>
        </a:p>
      </xdr:txBody>
    </xdr:sp>
    <xdr:clientData/>
  </xdr:twoCellAnchor>
  <xdr:twoCellAnchor>
    <xdr:from>
      <xdr:col>12</xdr:col>
      <xdr:colOff>0</xdr:colOff>
      <xdr:row>0</xdr:row>
      <xdr:rowOff>95250</xdr:rowOff>
    </xdr:from>
    <xdr:to>
      <xdr:col>12</xdr:col>
      <xdr:colOff>0</xdr:colOff>
      <xdr:row>3</xdr:row>
      <xdr:rowOff>55592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5573375" y="95250"/>
          <a:ext cx="0" cy="44611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0" rIns="36576" bIns="27432" anchor="b" upright="1"/>
        <a:lstStyle/>
        <a:p>
          <a:pPr algn="ctr" rtl="0">
            <a:defRPr sz="1000"/>
          </a:pPr>
          <a:r>
            <a:rPr lang="tr-TR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Sanimed</a:t>
          </a:r>
          <a:endParaRPr lang="tr-TR" sz="8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tr-TR" sz="7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SÜNGER SAN.TİC.A.Ş.</a:t>
          </a:r>
        </a:p>
      </xdr:txBody>
    </xdr:sp>
    <xdr:clientData/>
  </xdr:twoCellAnchor>
  <xdr:twoCellAnchor>
    <xdr:from>
      <xdr:col>12</xdr:col>
      <xdr:colOff>0</xdr:colOff>
      <xdr:row>1</xdr:row>
      <xdr:rowOff>47625</xdr:rowOff>
    </xdr:from>
    <xdr:to>
      <xdr:col>12</xdr:col>
      <xdr:colOff>0</xdr:colOff>
      <xdr:row>3</xdr:row>
      <xdr:rowOff>85725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5573375" y="209550"/>
          <a:ext cx="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SİCİL / KALİBRASYON</a:t>
          </a:r>
        </a:p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TAKİP KARTI</a:t>
          </a:r>
        </a:p>
      </xdr:txBody>
    </xdr:sp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9" name="Text Box 1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5573375" y="12382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0" rIns="36576" bIns="27432" anchor="b" upright="1"/>
        <a:lstStyle/>
        <a:p>
          <a:pPr algn="ctr" rtl="0">
            <a:defRPr sz="1000"/>
          </a:pPr>
          <a:r>
            <a:rPr lang="tr-TR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Sanimed</a:t>
          </a:r>
          <a:endParaRPr lang="tr-TR" sz="8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tr-TR" sz="7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SÜNGER SAN.TİC.A.Ş.</a:t>
          </a:r>
        </a:p>
      </xdr:txBody>
    </xdr:sp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10" name="Text Box 1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5573375" y="12382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SİCİL / KALİBRASYON</a:t>
          </a:r>
        </a:p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TAKİP KARTI</a:t>
          </a:r>
        </a:p>
      </xdr:txBody>
    </xdr:sp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11" name="Text Box 1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15573375" y="12382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0" rIns="36576" bIns="27432" anchor="b" upright="1"/>
        <a:lstStyle/>
        <a:p>
          <a:pPr algn="ctr" rtl="0">
            <a:defRPr sz="1000"/>
          </a:pPr>
          <a:r>
            <a:rPr lang="tr-TR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Sanimed</a:t>
          </a:r>
          <a:endParaRPr lang="tr-TR" sz="8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tr-TR" sz="7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SÜNGER SAN.TİC.A.Ş.</a:t>
          </a:r>
        </a:p>
      </xdr:txBody>
    </xdr:sp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12" name="Text Box 1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15573375" y="12382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SİCİL / KALİBRASYON</a:t>
          </a:r>
        </a:p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TAKİP KARTI</a:t>
          </a:r>
        </a:p>
      </xdr:txBody>
    </xdr:sp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13" name="Text Box 1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15573375" y="12382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0" rIns="36576" bIns="27432" anchor="b" upright="1"/>
        <a:lstStyle/>
        <a:p>
          <a:pPr algn="ctr" rtl="0">
            <a:defRPr sz="1000"/>
          </a:pPr>
          <a:r>
            <a:rPr lang="tr-TR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Sanimed</a:t>
          </a:r>
          <a:endParaRPr lang="tr-TR" sz="8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tr-TR" sz="7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SÜNGER SAN.TİC.A.Ş.</a:t>
          </a:r>
        </a:p>
      </xdr:txBody>
    </xdr:sp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15573375" y="12382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SİCİL / KALİBRASYON</a:t>
          </a:r>
        </a:p>
        <a:p>
          <a:pPr algn="ctr" rtl="0">
            <a:defRPr sz="1000"/>
          </a:pPr>
          <a:r>
            <a:rPr lang="tr-TR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TAKİP KARTI</a:t>
          </a:r>
        </a:p>
      </xdr:txBody>
    </xdr:sp>
    <xdr:clientData/>
  </xdr:twoCellAnchor>
  <xdr:twoCellAnchor editAs="oneCell">
    <xdr:from>
      <xdr:col>0</xdr:col>
      <xdr:colOff>81643</xdr:colOff>
      <xdr:row>1</xdr:row>
      <xdr:rowOff>68036</xdr:rowOff>
    </xdr:from>
    <xdr:to>
      <xdr:col>0</xdr:col>
      <xdr:colOff>1918607</xdr:colOff>
      <xdr:row>3</xdr:row>
      <xdr:rowOff>128689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24FF2942-744D-44C4-9D25-98FABEF9C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258536"/>
          <a:ext cx="1836964" cy="441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topLeftCell="A4" zoomScale="70" zoomScaleNormal="70" workbookViewId="0">
      <selection activeCell="U14" sqref="U14"/>
    </sheetView>
  </sheetViews>
  <sheetFormatPr defaultRowHeight="14.4" x14ac:dyDescent="0.3"/>
  <cols>
    <col min="1" max="1" width="29.88671875" bestFit="1" customWidth="1"/>
    <col min="2" max="2" width="14.88671875" customWidth="1"/>
    <col min="3" max="3" width="13.88671875" customWidth="1"/>
    <col min="4" max="4" width="11.6640625" bestFit="1" customWidth="1"/>
    <col min="5" max="5" width="15.6640625" bestFit="1" customWidth="1"/>
    <col min="6" max="6" width="20.88671875" bestFit="1" customWidth="1"/>
    <col min="7" max="7" width="12.109375" customWidth="1"/>
    <col min="8" max="8" width="17.6640625" customWidth="1"/>
    <col min="9" max="9" width="9.33203125" bestFit="1" customWidth="1"/>
    <col min="10" max="10" width="5.109375" bestFit="1" customWidth="1"/>
    <col min="12" max="13" width="10" bestFit="1" customWidth="1"/>
    <col min="14" max="14" width="6.88671875" bestFit="1" customWidth="1"/>
    <col min="16" max="16" width="11.88671875" bestFit="1" customWidth="1"/>
    <col min="17" max="17" width="6.33203125" customWidth="1"/>
    <col min="18" max="18" width="16.109375" bestFit="1" customWidth="1"/>
  </cols>
  <sheetData>
    <row r="1" spans="1:18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1" t="s">
        <v>1</v>
      </c>
      <c r="Q1" s="30" t="s">
        <v>2</v>
      </c>
      <c r="R1" s="31"/>
    </row>
    <row r="2" spans="1:18" x14ac:dyDescent="0.3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  <c r="P2" s="2" t="s">
        <v>3</v>
      </c>
      <c r="Q2" s="35" t="s">
        <v>4</v>
      </c>
      <c r="R2" s="36"/>
    </row>
    <row r="3" spans="1:18" x14ac:dyDescent="0.3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  <c r="P3" s="2" t="s">
        <v>5</v>
      </c>
      <c r="Q3" s="35" t="s">
        <v>6</v>
      </c>
      <c r="R3" s="36"/>
    </row>
    <row r="4" spans="1:18" ht="15" thickBot="1" x14ac:dyDescent="0.35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  <c r="P4" s="3" t="s">
        <v>7</v>
      </c>
      <c r="Q4" s="37" t="s">
        <v>8</v>
      </c>
      <c r="R4" s="38"/>
    </row>
    <row r="5" spans="1:18" ht="61.8" thickBot="1" x14ac:dyDescent="0.3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4" t="s">
        <v>25</v>
      </c>
      <c r="R5" s="22" t="s">
        <v>97</v>
      </c>
    </row>
    <row r="6" spans="1:18" ht="39.75" customHeight="1" thickBot="1" x14ac:dyDescent="0.35">
      <c r="A6" s="12" t="s">
        <v>38</v>
      </c>
      <c r="B6" s="6" t="s">
        <v>30</v>
      </c>
      <c r="C6" s="7" t="s">
        <v>52</v>
      </c>
      <c r="D6" s="20" t="s">
        <v>31</v>
      </c>
      <c r="E6" s="20" t="s">
        <v>58</v>
      </c>
      <c r="F6" s="8" t="s">
        <v>67</v>
      </c>
      <c r="G6" s="8" t="s">
        <v>78</v>
      </c>
      <c r="H6" s="8" t="s">
        <v>93</v>
      </c>
      <c r="I6" s="8" t="s">
        <v>88</v>
      </c>
      <c r="J6" s="8">
        <v>1</v>
      </c>
      <c r="K6" s="9" t="s">
        <v>26</v>
      </c>
      <c r="L6" s="10">
        <v>46054</v>
      </c>
      <c r="M6" s="10">
        <v>46429</v>
      </c>
      <c r="N6" s="13">
        <v>-10</v>
      </c>
      <c r="O6" s="14">
        <v>15</v>
      </c>
      <c r="P6" s="18">
        <f t="shared" ref="P6:P15" si="0">ABS(N6)+ABS(O6)</f>
        <v>25</v>
      </c>
      <c r="Q6" s="11" t="s">
        <v>27</v>
      </c>
      <c r="R6" s="23">
        <v>0.35</v>
      </c>
    </row>
    <row r="7" spans="1:18" ht="39.75" customHeight="1" thickBot="1" x14ac:dyDescent="0.35">
      <c r="A7" s="12" t="s">
        <v>39</v>
      </c>
      <c r="B7" s="6" t="s">
        <v>48</v>
      </c>
      <c r="C7" s="7" t="s">
        <v>52</v>
      </c>
      <c r="D7" s="20" t="s">
        <v>53</v>
      </c>
      <c r="E7" s="20" t="s">
        <v>59</v>
      </c>
      <c r="F7" s="8" t="s">
        <v>66</v>
      </c>
      <c r="G7" s="8" t="s">
        <v>77</v>
      </c>
      <c r="H7" s="8" t="s">
        <v>82</v>
      </c>
      <c r="I7" s="8" t="s">
        <v>80</v>
      </c>
      <c r="J7" s="8" t="s">
        <v>29</v>
      </c>
      <c r="K7" s="9" t="s">
        <v>26</v>
      </c>
      <c r="L7" s="10">
        <v>46054</v>
      </c>
      <c r="M7" s="10">
        <v>46429</v>
      </c>
      <c r="N7" s="13">
        <v>0</v>
      </c>
      <c r="O7" s="14">
        <v>0.41</v>
      </c>
      <c r="P7" s="18">
        <f t="shared" si="0"/>
        <v>0.41</v>
      </c>
      <c r="Q7" s="11" t="s">
        <v>27</v>
      </c>
      <c r="R7" s="23">
        <v>0.35</v>
      </c>
    </row>
    <row r="8" spans="1:18" ht="39.75" customHeight="1" thickBot="1" x14ac:dyDescent="0.35">
      <c r="A8" s="12" t="s">
        <v>40</v>
      </c>
      <c r="B8" s="6" t="s">
        <v>48</v>
      </c>
      <c r="C8" s="7" t="s">
        <v>52</v>
      </c>
      <c r="D8" s="20" t="s">
        <v>53</v>
      </c>
      <c r="E8" s="20" t="s">
        <v>59</v>
      </c>
      <c r="F8" s="8" t="s">
        <v>69</v>
      </c>
      <c r="G8" s="8" t="s">
        <v>71</v>
      </c>
      <c r="H8" s="8" t="s">
        <v>82</v>
      </c>
      <c r="I8" s="8" t="s">
        <v>80</v>
      </c>
      <c r="J8" s="8">
        <v>1</v>
      </c>
      <c r="K8" s="9" t="s">
        <v>26</v>
      </c>
      <c r="L8" s="10">
        <v>46054</v>
      </c>
      <c r="M8" s="10">
        <v>46429</v>
      </c>
      <c r="N8" s="15">
        <v>0</v>
      </c>
      <c r="O8" s="16">
        <v>0.41</v>
      </c>
      <c r="P8" s="18">
        <f t="shared" si="0"/>
        <v>0.41</v>
      </c>
      <c r="Q8" s="11" t="s">
        <v>27</v>
      </c>
      <c r="R8" s="24">
        <v>0.15</v>
      </c>
    </row>
    <row r="9" spans="1:18" ht="39.75" customHeight="1" thickBot="1" x14ac:dyDescent="0.35">
      <c r="A9" s="12" t="s">
        <v>41</v>
      </c>
      <c r="B9" s="6" t="s">
        <v>30</v>
      </c>
      <c r="C9" s="7" t="s">
        <v>52</v>
      </c>
      <c r="D9" s="20" t="s">
        <v>54</v>
      </c>
      <c r="E9" s="20" t="s">
        <v>34</v>
      </c>
      <c r="F9" s="8" t="s">
        <v>65</v>
      </c>
      <c r="G9" s="8" t="s">
        <v>76</v>
      </c>
      <c r="H9" s="21" t="s">
        <v>89</v>
      </c>
      <c r="I9" s="8" t="s">
        <v>90</v>
      </c>
      <c r="J9" s="8" t="s">
        <v>29</v>
      </c>
      <c r="K9" s="9" t="s">
        <v>26</v>
      </c>
      <c r="L9" s="10">
        <v>46054</v>
      </c>
      <c r="M9" s="10">
        <v>46429</v>
      </c>
      <c r="N9" s="15">
        <v>0</v>
      </c>
      <c r="O9" s="16">
        <v>0</v>
      </c>
      <c r="P9" s="18">
        <f t="shared" si="0"/>
        <v>0</v>
      </c>
      <c r="Q9" s="11" t="s">
        <v>27</v>
      </c>
      <c r="R9" s="23">
        <v>0.35</v>
      </c>
    </row>
    <row r="10" spans="1:18" ht="39.75" customHeight="1" thickBot="1" x14ac:dyDescent="0.35">
      <c r="A10" s="5" t="s">
        <v>42</v>
      </c>
      <c r="B10" s="6" t="s">
        <v>49</v>
      </c>
      <c r="C10" s="7" t="s">
        <v>52</v>
      </c>
      <c r="D10" s="20" t="s">
        <v>55</v>
      </c>
      <c r="E10" s="20" t="s">
        <v>60</v>
      </c>
      <c r="F10" s="8" t="s">
        <v>64</v>
      </c>
      <c r="G10" s="8" t="s">
        <v>75</v>
      </c>
      <c r="H10" s="8" t="s">
        <v>83</v>
      </c>
      <c r="I10" s="8" t="s">
        <v>81</v>
      </c>
      <c r="J10" s="8" t="s">
        <v>29</v>
      </c>
      <c r="K10" s="9" t="s">
        <v>33</v>
      </c>
      <c r="L10" s="10">
        <v>46054</v>
      </c>
      <c r="M10" s="10">
        <v>46429</v>
      </c>
      <c r="N10" s="18">
        <v>-0.1</v>
      </c>
      <c r="O10" s="17">
        <v>8.4000000000000005E-2</v>
      </c>
      <c r="P10" s="18">
        <f t="shared" si="0"/>
        <v>0.184</v>
      </c>
      <c r="Q10" s="11" t="s">
        <v>27</v>
      </c>
      <c r="R10" s="24">
        <v>0.15</v>
      </c>
    </row>
    <row r="11" spans="1:18" ht="39.75" customHeight="1" thickBot="1" x14ac:dyDescent="0.35">
      <c r="A11" s="5" t="s">
        <v>43</v>
      </c>
      <c r="B11" s="6" t="s">
        <v>50</v>
      </c>
      <c r="C11" s="7" t="s">
        <v>52</v>
      </c>
      <c r="D11" s="20" t="s">
        <v>37</v>
      </c>
      <c r="E11" s="20" t="s">
        <v>34</v>
      </c>
      <c r="F11" s="8" t="s">
        <v>32</v>
      </c>
      <c r="G11" s="8" t="s">
        <v>70</v>
      </c>
      <c r="H11" s="8" t="s">
        <v>91</v>
      </c>
      <c r="I11" s="8" t="s">
        <v>92</v>
      </c>
      <c r="J11" s="8" t="s">
        <v>29</v>
      </c>
      <c r="K11" s="9" t="s">
        <v>33</v>
      </c>
      <c r="L11" s="10">
        <v>46054</v>
      </c>
      <c r="M11" s="10">
        <v>46429</v>
      </c>
      <c r="N11" s="18">
        <v>0</v>
      </c>
      <c r="O11" s="18">
        <v>0</v>
      </c>
      <c r="P11" s="18">
        <f t="shared" si="0"/>
        <v>0</v>
      </c>
      <c r="Q11" s="11" t="s">
        <v>27</v>
      </c>
      <c r="R11" s="23">
        <v>0.35</v>
      </c>
    </row>
    <row r="12" spans="1:18" ht="39.75" customHeight="1" thickBot="1" x14ac:dyDescent="0.35">
      <c r="A12" s="5" t="s">
        <v>44</v>
      </c>
      <c r="B12" s="6" t="s">
        <v>51</v>
      </c>
      <c r="C12" s="7" t="s">
        <v>52</v>
      </c>
      <c r="D12" s="20" t="s">
        <v>28</v>
      </c>
      <c r="E12" s="20" t="s">
        <v>61</v>
      </c>
      <c r="F12" s="8" t="s">
        <v>63</v>
      </c>
      <c r="G12" s="8" t="s">
        <v>74</v>
      </c>
      <c r="H12" s="8" t="s">
        <v>84</v>
      </c>
      <c r="I12" s="8" t="s">
        <v>85</v>
      </c>
      <c r="J12" s="8" t="s">
        <v>29</v>
      </c>
      <c r="K12" s="9" t="s">
        <v>26</v>
      </c>
      <c r="L12" s="10">
        <v>46054</v>
      </c>
      <c r="M12" s="10">
        <v>46429</v>
      </c>
      <c r="N12" s="18">
        <v>0</v>
      </c>
      <c r="O12" s="14">
        <v>1.9E-3</v>
      </c>
      <c r="P12" s="14">
        <f t="shared" si="0"/>
        <v>1.9E-3</v>
      </c>
      <c r="Q12" s="11" t="s">
        <v>27</v>
      </c>
      <c r="R12" s="24">
        <v>0.15</v>
      </c>
    </row>
    <row r="13" spans="1:18" ht="39.75" customHeight="1" thickBot="1" x14ac:dyDescent="0.35">
      <c r="A13" s="5" t="s">
        <v>45</v>
      </c>
      <c r="B13" s="6" t="s">
        <v>30</v>
      </c>
      <c r="C13" s="7" t="s">
        <v>52</v>
      </c>
      <c r="D13" s="20" t="s">
        <v>32</v>
      </c>
      <c r="E13" s="20" t="s">
        <v>34</v>
      </c>
      <c r="F13" s="8" t="s">
        <v>68</v>
      </c>
      <c r="G13" s="8" t="s">
        <v>72</v>
      </c>
      <c r="H13" s="8" t="s">
        <v>87</v>
      </c>
      <c r="I13" s="8" t="s">
        <v>88</v>
      </c>
      <c r="J13" s="8" t="s">
        <v>29</v>
      </c>
      <c r="K13" s="9" t="s">
        <v>26</v>
      </c>
      <c r="L13" s="10">
        <v>46054</v>
      </c>
      <c r="M13" s="10">
        <v>46429</v>
      </c>
      <c r="N13" s="15">
        <v>0</v>
      </c>
      <c r="O13" s="16">
        <v>20</v>
      </c>
      <c r="P13" s="18">
        <f t="shared" si="0"/>
        <v>20</v>
      </c>
      <c r="Q13" s="11" t="s">
        <v>27</v>
      </c>
      <c r="R13" s="24">
        <v>0.15</v>
      </c>
    </row>
    <row r="14" spans="1:18" ht="39.75" customHeight="1" thickBot="1" x14ac:dyDescent="0.35">
      <c r="A14" s="5" t="s">
        <v>46</v>
      </c>
      <c r="B14" s="6" t="s">
        <v>35</v>
      </c>
      <c r="C14" s="7" t="s">
        <v>52</v>
      </c>
      <c r="D14" s="20" t="s">
        <v>56</v>
      </c>
      <c r="E14" s="20" t="s">
        <v>62</v>
      </c>
      <c r="F14" s="8" t="s">
        <v>34</v>
      </c>
      <c r="G14" s="8" t="s">
        <v>34</v>
      </c>
      <c r="H14" s="8" t="s">
        <v>79</v>
      </c>
      <c r="I14" s="8" t="s">
        <v>36</v>
      </c>
      <c r="J14" s="8" t="s">
        <v>29</v>
      </c>
      <c r="K14" s="9" t="s">
        <v>26</v>
      </c>
      <c r="L14" s="10">
        <v>46054</v>
      </c>
      <c r="M14" s="10">
        <v>46429</v>
      </c>
      <c r="N14" s="18">
        <v>0.3</v>
      </c>
      <c r="O14" s="18">
        <v>0.32</v>
      </c>
      <c r="P14" s="18">
        <f t="shared" si="0"/>
        <v>0.62</v>
      </c>
      <c r="Q14" s="11" t="s">
        <v>27</v>
      </c>
      <c r="R14" s="23">
        <v>0.35</v>
      </c>
    </row>
    <row r="15" spans="1:18" ht="39.75" customHeight="1" thickBot="1" x14ac:dyDescent="0.35">
      <c r="A15" s="5" t="s">
        <v>47</v>
      </c>
      <c r="B15" s="6" t="s">
        <v>30</v>
      </c>
      <c r="C15" s="7" t="s">
        <v>52</v>
      </c>
      <c r="D15" s="20" t="s">
        <v>57</v>
      </c>
      <c r="E15" s="20" t="s">
        <v>34</v>
      </c>
      <c r="F15" s="8" t="s">
        <v>32</v>
      </c>
      <c r="G15" s="8" t="s">
        <v>73</v>
      </c>
      <c r="H15" s="8" t="s">
        <v>86</v>
      </c>
      <c r="I15" s="19" t="s">
        <v>94</v>
      </c>
      <c r="J15" s="8" t="s">
        <v>29</v>
      </c>
      <c r="K15" s="9" t="s">
        <v>26</v>
      </c>
      <c r="L15" s="10">
        <v>46054</v>
      </c>
      <c r="M15" s="10">
        <v>46429</v>
      </c>
      <c r="N15" s="18">
        <v>-0.1</v>
      </c>
      <c r="O15" s="17">
        <v>0</v>
      </c>
      <c r="P15" s="18">
        <f t="shared" si="0"/>
        <v>0.1</v>
      </c>
      <c r="Q15" s="11" t="s">
        <v>27</v>
      </c>
      <c r="R15" s="23">
        <v>0.35</v>
      </c>
    </row>
    <row r="16" spans="1:18" ht="39.75" customHeight="1" thickBot="1" x14ac:dyDescent="0.35">
      <c r="A16" s="6" t="s">
        <v>95</v>
      </c>
      <c r="B16" s="6" t="s">
        <v>95</v>
      </c>
      <c r="C16" s="7" t="s">
        <v>52</v>
      </c>
      <c r="D16" s="20" t="s">
        <v>96</v>
      </c>
      <c r="E16" s="20" t="s">
        <v>100</v>
      </c>
      <c r="F16" s="8" t="s">
        <v>101</v>
      </c>
      <c r="G16" s="8"/>
      <c r="H16" s="21" t="s">
        <v>102</v>
      </c>
      <c r="I16" s="26" t="s">
        <v>103</v>
      </c>
      <c r="J16" s="8" t="s">
        <v>29</v>
      </c>
      <c r="K16" s="9" t="s">
        <v>26</v>
      </c>
      <c r="L16" s="10">
        <v>46054</v>
      </c>
      <c r="M16" s="10">
        <v>46429</v>
      </c>
      <c r="N16" s="18">
        <v>-0.1</v>
      </c>
      <c r="O16" s="17">
        <v>0.32</v>
      </c>
      <c r="P16" s="18">
        <v>0.42</v>
      </c>
      <c r="Q16" s="11" t="s">
        <v>27</v>
      </c>
      <c r="R16" s="25">
        <v>0.1</v>
      </c>
    </row>
    <row r="17" spans="1:18" ht="39.75" customHeight="1" thickBot="1" x14ac:dyDescent="0.35">
      <c r="A17" s="6" t="s">
        <v>98</v>
      </c>
      <c r="B17" s="6" t="s">
        <v>104</v>
      </c>
      <c r="C17" s="7" t="s">
        <v>52</v>
      </c>
      <c r="D17" s="20" t="s">
        <v>99</v>
      </c>
      <c r="E17" s="20" t="s">
        <v>105</v>
      </c>
      <c r="F17" s="8" t="s">
        <v>106</v>
      </c>
      <c r="G17" s="8"/>
      <c r="H17" s="8" t="s">
        <v>107</v>
      </c>
      <c r="I17" s="19" t="s">
        <v>108</v>
      </c>
      <c r="J17" s="8" t="s">
        <v>29</v>
      </c>
      <c r="K17" s="9" t="s">
        <v>26</v>
      </c>
      <c r="L17" s="10">
        <v>46054</v>
      </c>
      <c r="M17" s="10">
        <v>46429</v>
      </c>
      <c r="N17" s="18">
        <v>0.2</v>
      </c>
      <c r="O17" s="17">
        <v>0.16</v>
      </c>
      <c r="P17" s="18">
        <v>0.36</v>
      </c>
      <c r="Q17" s="11" t="s">
        <v>27</v>
      </c>
      <c r="R17" s="25">
        <v>0.1</v>
      </c>
    </row>
  </sheetData>
  <mergeCells count="6">
    <mergeCell ref="A1:O1"/>
    <mergeCell ref="Q1:R1"/>
    <mergeCell ref="A2:O4"/>
    <mergeCell ref="Q2:R2"/>
    <mergeCell ref="Q3:R3"/>
    <mergeCell ref="Q4:R4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Eskişehir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</dc:creator>
  <cp:lastModifiedBy>User</cp:lastModifiedBy>
  <dcterms:created xsi:type="dcterms:W3CDTF">2024-02-23T09:56:57Z</dcterms:created>
  <dcterms:modified xsi:type="dcterms:W3CDTF">2026-04-14T20:29:11Z</dcterms:modified>
</cp:coreProperties>
</file>